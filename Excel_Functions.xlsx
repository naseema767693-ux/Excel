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eema\Desktop\EXCEL\"/>
    </mc:Choice>
  </mc:AlternateContent>
  <xr:revisionPtr revIDLastSave="0" documentId="13_ncr:1_{82D446CE-BB4D-48C1-9829-91252C906CF6}" xr6:coauthVersionLast="47" xr6:coauthVersionMax="47" xr10:uidLastSave="{00000000-0000-0000-0000-000000000000}"/>
  <bookViews>
    <workbookView xWindow="-108" yWindow="-108" windowWidth="23256" windowHeight="12456" xr2:uid="{0BB0CFFF-B517-4082-A520-315A5D306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P2" i="1" a="1"/>
  <c r="P2" i="1" s="1"/>
  <c r="N2" i="1"/>
  <c r="M2" i="1"/>
  <c r="L2" i="1" a="1"/>
  <c r="L2" i="1" s="1"/>
  <c r="K2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<sst xmlns="http://schemas.openxmlformats.org/spreadsheetml/2006/main" count="65" uniqueCount="35">
  <si>
    <t>Emp_ID</t>
  </si>
  <si>
    <t>Name</t>
  </si>
  <si>
    <t>Department</t>
  </si>
  <si>
    <t>Gender</t>
  </si>
  <si>
    <t>City</t>
  </si>
  <si>
    <t>Salary</t>
  </si>
  <si>
    <t>Experience</t>
  </si>
  <si>
    <t>Performance</t>
  </si>
  <si>
    <t>Rahul</t>
  </si>
  <si>
    <t>IT</t>
  </si>
  <si>
    <t>Male</t>
  </si>
  <si>
    <t>Bangalore</t>
  </si>
  <si>
    <t>Average</t>
  </si>
  <si>
    <t>Anita</t>
  </si>
  <si>
    <t>HR</t>
  </si>
  <si>
    <t>Female</t>
  </si>
  <si>
    <t>Chennai</t>
  </si>
  <si>
    <t>Good</t>
  </si>
  <si>
    <t>Excellent</t>
  </si>
  <si>
    <t>Sneha</t>
  </si>
  <si>
    <t>Finance</t>
  </si>
  <si>
    <t>Hyderabad</t>
  </si>
  <si>
    <t>Arjun</t>
  </si>
  <si>
    <t>Pooja</t>
  </si>
  <si>
    <t>Ramesh</t>
  </si>
  <si>
    <t>Divya</t>
  </si>
  <si>
    <t>Manoj</t>
  </si>
  <si>
    <t>Kavya</t>
  </si>
  <si>
    <t>INDEX</t>
  </si>
  <si>
    <t>Match</t>
  </si>
  <si>
    <t>Unique</t>
  </si>
  <si>
    <t>IFS</t>
  </si>
  <si>
    <t>COUNTIFS</t>
  </si>
  <si>
    <t>SUMIFS</t>
  </si>
  <si>
    <t>AVERAGEIFS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</si>
</sst>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8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FF66-F52C-4B51-B5E9-4F09CAE491F5}">
  <dimension ref="A1:P11"/>
  <sheetViews>
    <sheetView tabSelected="1" workbookViewId="0">
      <selection activeCell="D14" sqref="D14"/>
    </sheetView>
  </sheetViews>
  <sheetFormatPr defaultRowHeight="14.4" x14ac:dyDescent="0.3"/>
  <cols>
    <col min="1" max="1" width="10.77734375" customWidth="1"/>
    <col min="2" max="2" width="12.88671875" customWidth="1"/>
    <col min="3" max="3" width="17.33203125" customWidth="1"/>
    <col min="4" max="4" width="16.88671875" customWidth="1"/>
    <col min="5" max="5" width="13.109375" customWidth="1"/>
    <col min="7" max="7" width="13.44140625" customWidth="1"/>
    <col min="8" max="8" width="14.88671875" customWidth="1"/>
    <col min="13" max="13" width="10.33203125" customWidth="1"/>
    <col min="15" max="15" width="13.6640625" customWidth="1"/>
  </cols>
  <sheetData>
    <row r="1" spans="1:1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J1" s="3" t="s">
        <v>28</v>
      </c>
      <c r="K1" s="5" t="s">
        <v>29</v>
      </c>
      <c r="L1" s="6" t="s">
        <v>30</v>
      </c>
      <c r="M1" s="10" t="s">
        <v>32</v>
      </c>
      <c r="N1" s="12" t="s">
        <v>33</v>
      </c>
      <c r="O1" s="14" t="s">
        <v>34</v>
      </c>
      <c r="P1" s="15" t="s">
        <v>31</v>
      </c>
    </row>
    <row r="2" spans="1:16" x14ac:dyDescent="0.3">
      <c r="A2" s="1">
        <v>201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45000</v>
      </c>
      <c r="G2" s="1">
        <v>2</v>
      </c>
      <c r="H2" s="1" t="s">
        <v>12</v>
      </c>
      <c r="J2" s="4">
        <f>INDEX(A2:H11,10,7)</f>
        <v>8</v>
      </c>
      <c r="K2" s="8">
        <f>MATCH(E2,E2:E11,1)</f>
        <v>1</v>
      </c>
      <c r="L2" s="9" t="str" cm="1">
        <f t="array" ref="L2:L4">_xlfn.UNIQUE(C2:C11)</f>
        <v>IT</v>
      </c>
      <c r="M2" s="11">
        <f>COUNTIFS(F2:F11,45000)</f>
        <v>1</v>
      </c>
      <c r="N2" s="13">
        <f>SUMIFS(F2:F11, B2:B11, "Rahul")</f>
        <v>97000</v>
      </c>
      <c r="O2" s="17">
        <f>AVERAGEIFS(F2:F11,B2:B11,"Rahul")</f>
        <v>48500</v>
      </c>
      <c r="P2" s="16" t="str" cm="1">
        <f t="array" ref="P2">_xlfn.IFS(
F2&gt;=60000,"High",
F2&gt;=45000,"Medium",
F2&lt;45000,"Low"
)</f>
        <v>Medium</v>
      </c>
    </row>
    <row r="3" spans="1:16" x14ac:dyDescent="0.3">
      <c r="A3" s="1">
        <v>202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38000</v>
      </c>
      <c r="G3" s="1">
        <v>3</v>
      </c>
      <c r="H3" s="1" t="s">
        <v>17</v>
      </c>
      <c r="J3" s="2"/>
      <c r="K3" s="2"/>
      <c r="L3" s="9" t="str">
        <v>HR</v>
      </c>
    </row>
    <row r="4" spans="1:16" x14ac:dyDescent="0.3">
      <c r="A4" s="1">
        <v>203</v>
      </c>
      <c r="B4" s="1" t="s">
        <v>8</v>
      </c>
      <c r="C4" s="1" t="s">
        <v>9</v>
      </c>
      <c r="D4" s="1" t="s">
        <v>10</v>
      </c>
      <c r="E4" s="1" t="s">
        <v>11</v>
      </c>
      <c r="F4" s="1">
        <v>52000</v>
      </c>
      <c r="G4" s="1">
        <v>5</v>
      </c>
      <c r="H4" s="1" t="s">
        <v>18</v>
      </c>
      <c r="J4" s="2"/>
      <c r="K4" s="2"/>
      <c r="L4" s="9" t="str">
        <v>Finance</v>
      </c>
    </row>
    <row r="5" spans="1:16" x14ac:dyDescent="0.3">
      <c r="A5" s="1">
        <v>204</v>
      </c>
      <c r="B5" s="1" t="s">
        <v>19</v>
      </c>
      <c r="C5" s="1" t="s">
        <v>20</v>
      </c>
      <c r="D5" s="1" t="s">
        <v>15</v>
      </c>
      <c r="E5" s="1" t="s">
        <v>21</v>
      </c>
      <c r="F5" s="1">
        <v>60000</v>
      </c>
      <c r="G5" s="1">
        <v>6</v>
      </c>
      <c r="H5" s="1" t="s">
        <v>18</v>
      </c>
    </row>
    <row r="6" spans="1:16" x14ac:dyDescent="0.3">
      <c r="A6" s="1">
        <v>205</v>
      </c>
      <c r="B6" s="1" t="s">
        <v>22</v>
      </c>
      <c r="C6" s="1" t="s">
        <v>9</v>
      </c>
      <c r="D6" s="1" t="s">
        <v>10</v>
      </c>
      <c r="E6" s="1" t="s">
        <v>16</v>
      </c>
      <c r="F6" s="1">
        <v>41000</v>
      </c>
      <c r="G6" s="1">
        <v>2</v>
      </c>
      <c r="H6" s="1" t="s">
        <v>12</v>
      </c>
    </row>
    <row r="7" spans="1:16" x14ac:dyDescent="0.3">
      <c r="A7" s="1">
        <v>206</v>
      </c>
      <c r="B7" s="1" t="s">
        <v>23</v>
      </c>
      <c r="C7" s="1" t="s">
        <v>14</v>
      </c>
      <c r="D7" s="1" t="s">
        <v>15</v>
      </c>
      <c r="E7" s="1" t="s">
        <v>11</v>
      </c>
      <c r="F7" s="1">
        <v>36000</v>
      </c>
      <c r="G7" s="1">
        <v>1</v>
      </c>
      <c r="H7" s="1" t="s">
        <v>17</v>
      </c>
    </row>
    <row r="8" spans="1:16" x14ac:dyDescent="0.3">
      <c r="A8" s="1">
        <v>207</v>
      </c>
      <c r="B8" s="1" t="s">
        <v>24</v>
      </c>
      <c r="C8" s="1" t="s">
        <v>20</v>
      </c>
      <c r="D8" s="1" t="s">
        <v>10</v>
      </c>
      <c r="E8" s="1" t="s">
        <v>21</v>
      </c>
      <c r="F8" s="1">
        <v>58000</v>
      </c>
      <c r="G8" s="1">
        <v>7</v>
      </c>
      <c r="H8" s="1" t="s">
        <v>17</v>
      </c>
    </row>
    <row r="9" spans="1:16" x14ac:dyDescent="0.3">
      <c r="A9" s="1">
        <v>208</v>
      </c>
      <c r="B9" s="1" t="s">
        <v>25</v>
      </c>
      <c r="C9" s="1" t="s">
        <v>9</v>
      </c>
      <c r="D9" s="1" t="s">
        <v>15</v>
      </c>
      <c r="E9" s="1" t="s">
        <v>11</v>
      </c>
      <c r="F9" s="1">
        <v>48000</v>
      </c>
      <c r="G9" s="1">
        <v>4</v>
      </c>
      <c r="H9" s="1" t="s">
        <v>18</v>
      </c>
    </row>
    <row r="10" spans="1:16" x14ac:dyDescent="0.3">
      <c r="A10" s="1">
        <v>209</v>
      </c>
      <c r="B10" s="1" t="s">
        <v>26</v>
      </c>
      <c r="C10" s="1" t="s">
        <v>14</v>
      </c>
      <c r="D10" s="1" t="s">
        <v>10</v>
      </c>
      <c r="E10" s="1" t="s">
        <v>16</v>
      </c>
      <c r="F10" s="1">
        <v>40000</v>
      </c>
      <c r="G10" s="1">
        <v>3</v>
      </c>
      <c r="H10" s="1" t="s">
        <v>12</v>
      </c>
    </row>
    <row r="11" spans="1:16" x14ac:dyDescent="0.3">
      <c r="A11" s="1">
        <v>210</v>
      </c>
      <c r="B11" s="1" t="s">
        <v>27</v>
      </c>
      <c r="C11" s="1" t="s">
        <v>20</v>
      </c>
      <c r="D11" s="1" t="s">
        <v>15</v>
      </c>
      <c r="E11" s="1" t="s">
        <v>11</v>
      </c>
      <c r="F11" s="1">
        <v>62000</v>
      </c>
      <c r="G11" s="1">
        <v>8</v>
      </c>
      <c r="H1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Naseema S</dc:creator>
  <cp:lastModifiedBy>Naseema S</cp:lastModifiedBy>
  <dcterms:created xsi:type="dcterms:W3CDTF">2026-02-03T17:35:19Z</dcterms:created>
  <dcterms:modified xsi:type="dcterms:W3CDTF">2026-02-05T16:35:48Z</dcterms:modified>
</cp:coreProperties>
</file>