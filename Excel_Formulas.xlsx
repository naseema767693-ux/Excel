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aseema\Desktop\"/>
    </mc:Choice>
  </mc:AlternateContent>
  <xr:revisionPtr revIDLastSave="0" documentId="13_ncr:1_{8E55086D-0B33-4EEA-BB32-912C75AA458E}" xr6:coauthVersionLast="47" xr6:coauthVersionMax="47" xr10:uidLastSave="{00000000-0000-0000-0000-000000000000}"/>
  <bookViews>
    <workbookView xWindow="-108" yWindow="-108" windowWidth="23256" windowHeight="12456" xr2:uid="{90CD5B69-37B6-4A15-8074-E57AE79DA588}"/>
  </bookViews>
  <sheets>
    <sheet name="CONDITIONAL FORMATING" sheetId="1" r:id="rId1"/>
    <sheet name="Function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3" i="2" l="1"/>
  <c r="L4" i="2"/>
  <c r="L5" i="2"/>
  <c r="L6" i="2"/>
  <c r="L7" i="2"/>
  <c r="L8" i="2"/>
  <c r="L9" i="2"/>
  <c r="L2" i="2"/>
  <c r="K2" i="2"/>
  <c r="J2" i="2"/>
  <c r="I2" i="2"/>
  <c r="H9" i="2"/>
  <c r="H3" i="2"/>
  <c r="H4" i="2"/>
  <c r="H5" i="2"/>
  <c r="H6" i="2"/>
  <c r="H7" i="2"/>
  <c r="H8" i="2"/>
  <c r="H2" i="2"/>
</calcChain>
</file>

<file path=xl/sharedStrings.xml><?xml version="1.0" encoding="utf-8"?>
<sst xmlns="http://schemas.openxmlformats.org/spreadsheetml/2006/main" count="76" uniqueCount="56">
  <si>
    <t>Roll_No</t>
  </si>
  <si>
    <t>Name</t>
  </si>
  <si>
    <t>Subject</t>
  </si>
  <si>
    <t>Internal_Marks</t>
  </si>
  <si>
    <t>Final_Marks</t>
  </si>
  <si>
    <t>BCA01</t>
  </si>
  <si>
    <t>Asha Rao</t>
  </si>
  <si>
    <t>DBMS</t>
  </si>
  <si>
    <t>BCA02</t>
  </si>
  <si>
    <t>Ravi Kumar</t>
  </si>
  <si>
    <t>Java</t>
  </si>
  <si>
    <t>BCA03</t>
  </si>
  <si>
    <t>Neha Singh</t>
  </si>
  <si>
    <t>BCA04</t>
  </si>
  <si>
    <t>Arjun Mehta</t>
  </si>
  <si>
    <t>Python</t>
  </si>
  <si>
    <t>BCA05</t>
  </si>
  <si>
    <t>Priya Sharma</t>
  </si>
  <si>
    <t>BCA06</t>
  </si>
  <si>
    <t>Kiran Patel</t>
  </si>
  <si>
    <t>BCA07</t>
  </si>
  <si>
    <t>Sneha Iyer</t>
  </si>
  <si>
    <t>BCA08</t>
  </si>
  <si>
    <t>Aman Verma</t>
  </si>
  <si>
    <t>IF</t>
  </si>
  <si>
    <t>High Marks</t>
  </si>
  <si>
    <t>Average Marks</t>
  </si>
  <si>
    <t>Low Marks</t>
  </si>
  <si>
    <t>Conditional Formating</t>
  </si>
  <si>
    <t>Student_ID</t>
  </si>
  <si>
    <t>Marks</t>
  </si>
  <si>
    <t>Attendance</t>
  </si>
  <si>
    <t>Rahul</t>
  </si>
  <si>
    <t>Maths</t>
  </si>
  <si>
    <t>Yes</t>
  </si>
  <si>
    <t>Anita</t>
  </si>
  <si>
    <t>No</t>
  </si>
  <si>
    <t>Kiran</t>
  </si>
  <si>
    <t>Sneha</t>
  </si>
  <si>
    <t>Arjun</t>
  </si>
  <si>
    <t>Pooja</t>
  </si>
  <si>
    <t>Ramesh</t>
  </si>
  <si>
    <t>Divya</t>
  </si>
  <si>
    <t>COUNTIF</t>
  </si>
  <si>
    <t>SUMIF</t>
  </si>
  <si>
    <t>AVERAGEIF</t>
  </si>
  <si>
    <t>CONCAT</t>
  </si>
  <si>
    <t>Sur Name</t>
  </si>
  <si>
    <t>raj</t>
  </si>
  <si>
    <t>kumari</t>
  </si>
  <si>
    <t>patel</t>
  </si>
  <si>
    <t>sowmi</t>
  </si>
  <si>
    <t>rao</t>
  </si>
  <si>
    <t>hegde</t>
  </si>
  <si>
    <t>babu</t>
  </si>
  <si>
    <t>sharma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</si>
</sst>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Aptos"/>
      <family val="2"/>
    </font>
    <font>
      <sz val="11"/>
      <color theme="1"/>
      <name val="Aptos"/>
      <family val="2"/>
    </font>
    <font>
      <b/>
      <u/>
      <sz val="2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horizontal="center"/>
    </xf>
    <xf numFmtId="0" fontId="4" fillId="0" borderId="0" xfId="0" applyFont="1" applyAlignment="1">
      <alignment horizontal="center"/>
    </xf>
    <xf numFmtId="0" fontId="2" fillId="5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1" fillId="7" borderId="1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0" fillId="8" borderId="2" xfId="0" applyFill="1" applyBorder="1" applyAlignment="1">
      <alignment horizontal="center"/>
    </xf>
    <xf numFmtId="0" fontId="1" fillId="9" borderId="1" xfId="0" applyFon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 wrapText="1"/>
    </xf>
    <xf numFmtId="0" fontId="0" fillId="10" borderId="1" xfId="0" applyFill="1" applyBorder="1" applyAlignment="1">
      <alignment horizontal="center" vertical="center" wrapText="1"/>
    </xf>
  </cellXfs>
  <cellStyles count="1">
    <cellStyle name="Normal" xfId="0" builtinId="0"/>
  </cellStyles>
  <dxfs count="4">
    <dxf>
      <font>
        <color rgb="FFFFFF00"/>
      </font>
    </dxf>
    <dxf>
      <font>
        <b/>
        <i/>
        <color rgb="FF00B050"/>
      </font>
    </dxf>
    <dxf>
      <font>
        <b/>
        <i/>
        <color rgb="FFFF0000"/>
      </font>
    </dxf>
    <dxf>
      <font>
        <b/>
        <i/>
        <color rgb="FF7030A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912C8-C9A3-4DAE-A0EE-6DF045B49566}">
  <dimension ref="A1:F15"/>
  <sheetViews>
    <sheetView tabSelected="1" workbookViewId="0">
      <selection activeCell="F13" sqref="F13"/>
    </sheetView>
  </sheetViews>
  <sheetFormatPr defaultRowHeight="14.4" x14ac:dyDescent="0.3"/>
  <cols>
    <col min="2" max="2" width="20.109375" customWidth="1"/>
    <col min="3" max="3" width="18.44140625" customWidth="1"/>
    <col min="4" max="4" width="16.88671875" customWidth="1"/>
    <col min="5" max="5" width="14.21875" customWidth="1"/>
    <col min="6" max="6" width="16.88671875" customWidth="1"/>
  </cols>
  <sheetData>
    <row r="1" spans="1:6" ht="25.8" x14ac:dyDescent="0.5">
      <c r="A1" s="8" t="s">
        <v>28</v>
      </c>
      <c r="B1" s="8"/>
      <c r="C1" s="8"/>
      <c r="D1" s="8"/>
      <c r="E1" s="8"/>
      <c r="F1" s="2"/>
    </row>
    <row r="2" spans="1:6" ht="15.6" x14ac:dyDescent="0.3">
      <c r="A2" s="9" t="s">
        <v>0</v>
      </c>
      <c r="B2" s="9" t="s">
        <v>1</v>
      </c>
      <c r="C2" s="9" t="s">
        <v>2</v>
      </c>
      <c r="D2" s="9" t="s">
        <v>3</v>
      </c>
      <c r="E2" s="9" t="s">
        <v>4</v>
      </c>
      <c r="F2" s="1"/>
    </row>
    <row r="3" spans="1:6" x14ac:dyDescent="0.3">
      <c r="A3" s="6" t="s">
        <v>5</v>
      </c>
      <c r="B3" s="6" t="s">
        <v>6</v>
      </c>
      <c r="C3" s="6" t="s">
        <v>7</v>
      </c>
      <c r="D3" s="6">
        <v>18</v>
      </c>
      <c r="E3" s="6">
        <v>65</v>
      </c>
      <c r="F3" s="1"/>
    </row>
    <row r="4" spans="1:6" x14ac:dyDescent="0.3">
      <c r="A4" s="6" t="s">
        <v>8</v>
      </c>
      <c r="B4" s="6" t="s">
        <v>9</v>
      </c>
      <c r="C4" s="6" t="s">
        <v>10</v>
      </c>
      <c r="D4" s="6">
        <v>20</v>
      </c>
      <c r="E4" s="6">
        <v>72</v>
      </c>
      <c r="F4" s="1"/>
    </row>
    <row r="5" spans="1:6" x14ac:dyDescent="0.3">
      <c r="A5" s="6" t="s">
        <v>11</v>
      </c>
      <c r="B5" s="6" t="s">
        <v>12</v>
      </c>
      <c r="C5" s="6" t="s">
        <v>7</v>
      </c>
      <c r="D5" s="6">
        <v>22</v>
      </c>
      <c r="E5" s="6">
        <v>80</v>
      </c>
      <c r="F5" s="1"/>
    </row>
    <row r="6" spans="1:6" x14ac:dyDescent="0.3">
      <c r="A6" s="6" t="s">
        <v>13</v>
      </c>
      <c r="B6" s="6" t="s">
        <v>14</v>
      </c>
      <c r="C6" s="6" t="s">
        <v>15</v>
      </c>
      <c r="D6" s="6">
        <v>15</v>
      </c>
      <c r="E6" s="6">
        <v>60</v>
      </c>
      <c r="F6" s="1"/>
    </row>
    <row r="7" spans="1:6" x14ac:dyDescent="0.3">
      <c r="A7" s="6" t="s">
        <v>16</v>
      </c>
      <c r="B7" s="6" t="s">
        <v>17</v>
      </c>
      <c r="C7" s="6" t="s">
        <v>10</v>
      </c>
      <c r="D7" s="6">
        <v>19</v>
      </c>
      <c r="E7" s="6">
        <v>70</v>
      </c>
      <c r="F7" s="1"/>
    </row>
    <row r="8" spans="1:6" x14ac:dyDescent="0.3">
      <c r="A8" s="6" t="s">
        <v>18</v>
      </c>
      <c r="B8" s="6" t="s">
        <v>19</v>
      </c>
      <c r="C8" s="6" t="s">
        <v>15</v>
      </c>
      <c r="D8" s="6">
        <v>12</v>
      </c>
      <c r="E8" s="6">
        <v>55</v>
      </c>
      <c r="F8" s="1"/>
    </row>
    <row r="9" spans="1:6" x14ac:dyDescent="0.3">
      <c r="A9" s="6" t="s">
        <v>20</v>
      </c>
      <c r="B9" s="6" t="s">
        <v>21</v>
      </c>
      <c r="C9" s="6" t="s">
        <v>7</v>
      </c>
      <c r="D9" s="6">
        <v>21</v>
      </c>
      <c r="E9" s="6">
        <v>78</v>
      </c>
      <c r="F9" s="1"/>
    </row>
    <row r="10" spans="1:6" x14ac:dyDescent="0.3">
      <c r="A10" s="6" t="s">
        <v>22</v>
      </c>
      <c r="B10" s="6" t="s">
        <v>23</v>
      </c>
      <c r="C10" s="6" t="s">
        <v>10</v>
      </c>
      <c r="D10" s="6">
        <v>23</v>
      </c>
      <c r="E10" s="6">
        <v>85</v>
      </c>
    </row>
    <row r="13" spans="1:6" x14ac:dyDescent="0.3">
      <c r="A13" s="3"/>
      <c r="B13" s="1" t="s">
        <v>25</v>
      </c>
    </row>
    <row r="14" spans="1:6" x14ac:dyDescent="0.3">
      <c r="A14" s="4"/>
      <c r="B14" s="1" t="s">
        <v>26</v>
      </c>
    </row>
    <row r="15" spans="1:6" x14ac:dyDescent="0.3">
      <c r="A15" s="5"/>
      <c r="B15" s="1" t="s">
        <v>27</v>
      </c>
    </row>
  </sheetData>
  <mergeCells count="1">
    <mergeCell ref="A1:E1"/>
  </mergeCells>
  <conditionalFormatting sqref="D3:E10">
    <cfRule type="expression" dxfId="3" priority="1">
      <formula xml:space="preserve"> D3 &gt; 20</formula>
    </cfRule>
    <cfRule type="expression" dxfId="2" priority="2">
      <formula xml:space="preserve"> AND(D3 &gt;= 15, D3 &lt;= 20)</formula>
    </cfRule>
    <cfRule type="expression" dxfId="1" priority="3">
      <formula xml:space="preserve"> D3 &lt; 15</formula>
    </cfRule>
    <cfRule type="expression" dxfId="0" priority="4">
      <formula xml:space="preserve"> D3 &lt; 15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FAA61-D997-40A3-8FF5-7BF7029E83F3}">
  <dimension ref="A1:L10"/>
  <sheetViews>
    <sheetView workbookViewId="0">
      <selection activeCell="B18" sqref="B18"/>
    </sheetView>
  </sheetViews>
  <sheetFormatPr defaultRowHeight="14.4" x14ac:dyDescent="0.3"/>
  <cols>
    <col min="1" max="1" width="11" customWidth="1"/>
    <col min="3" max="3" width="14.6640625" customWidth="1"/>
    <col min="4" max="4" width="11.44140625" customWidth="1"/>
    <col min="5" max="5" width="16" customWidth="1"/>
    <col min="6" max="6" width="14.88671875" customWidth="1"/>
    <col min="10" max="10" width="12.33203125" customWidth="1"/>
    <col min="11" max="11" width="19.109375" customWidth="1"/>
    <col min="12" max="12" width="16" customWidth="1"/>
  </cols>
  <sheetData>
    <row r="1" spans="1:12" ht="21.6" customHeight="1" x14ac:dyDescent="0.3">
      <c r="A1" s="10" t="s">
        <v>29</v>
      </c>
      <c r="B1" s="10" t="s">
        <v>1</v>
      </c>
      <c r="C1" s="10" t="s">
        <v>47</v>
      </c>
      <c r="D1" s="10" t="s">
        <v>2</v>
      </c>
      <c r="E1" s="10" t="s">
        <v>30</v>
      </c>
      <c r="F1" s="11" t="s">
        <v>31</v>
      </c>
      <c r="G1" s="7"/>
      <c r="H1" s="20" t="s">
        <v>24</v>
      </c>
      <c r="I1" s="12" t="s">
        <v>43</v>
      </c>
      <c r="J1" s="15" t="s">
        <v>44</v>
      </c>
      <c r="K1" s="16" t="s">
        <v>45</v>
      </c>
      <c r="L1" s="18" t="s">
        <v>46</v>
      </c>
    </row>
    <row r="2" spans="1:12" x14ac:dyDescent="0.3">
      <c r="A2" s="1">
        <v>101</v>
      </c>
      <c r="B2" s="1" t="s">
        <v>32</v>
      </c>
      <c r="C2" s="1" t="s">
        <v>48</v>
      </c>
      <c r="D2" s="1" t="s">
        <v>33</v>
      </c>
      <c r="E2" s="1">
        <v>78</v>
      </c>
      <c r="F2" s="1" t="s">
        <v>34</v>
      </c>
      <c r="G2" s="7"/>
      <c r="H2" s="21" t="str">
        <f>IF(E2&gt;=50,"Pass","Fail")</f>
        <v>Pass</v>
      </c>
      <c r="I2" s="14">
        <f>COUNTIF(E2:E9,"&gt;50")</f>
        <v>5</v>
      </c>
      <c r="J2" s="13">
        <f>SUMIF(E2:E9,"&gt;50")</f>
        <v>373</v>
      </c>
      <c r="K2" s="17">
        <f>AVERAGE(E2:E9)</f>
        <v>61.625</v>
      </c>
      <c r="L2" s="19" t="str">
        <f>_xlfn.CONCAT(B2,"-",C2)</f>
        <v>Rahul-raj</v>
      </c>
    </row>
    <row r="3" spans="1:12" x14ac:dyDescent="0.3">
      <c r="A3" s="1">
        <v>102</v>
      </c>
      <c r="B3" s="1" t="s">
        <v>35</v>
      </c>
      <c r="C3" s="1" t="s">
        <v>49</v>
      </c>
      <c r="D3" s="1" t="s">
        <v>33</v>
      </c>
      <c r="E3" s="1">
        <v>45</v>
      </c>
      <c r="F3" s="1" t="s">
        <v>36</v>
      </c>
      <c r="G3" s="7"/>
      <c r="H3" s="21" t="str">
        <f>IF(E3&gt;=50,"Pass","Fail")</f>
        <v>Fail</v>
      </c>
      <c r="I3" s="7"/>
      <c r="J3" s="7"/>
      <c r="K3" s="7"/>
      <c r="L3" s="19" t="str">
        <f t="shared" ref="L3:L9" si="0">_xlfn.CONCAT(B3,"-",C3)</f>
        <v>Anita-kumari</v>
      </c>
    </row>
    <row r="4" spans="1:12" x14ac:dyDescent="0.3">
      <c r="A4" s="1">
        <v>103</v>
      </c>
      <c r="B4" s="1" t="s">
        <v>37</v>
      </c>
      <c r="C4" s="1" t="s">
        <v>50</v>
      </c>
      <c r="D4" s="1" t="s">
        <v>33</v>
      </c>
      <c r="E4" s="1">
        <v>62</v>
      </c>
      <c r="F4" s="1" t="s">
        <v>34</v>
      </c>
      <c r="G4" s="7"/>
      <c r="H4" s="21" t="str">
        <f>IF(E4&gt;=50,"Pass","Fail")</f>
        <v>Pass</v>
      </c>
      <c r="I4" s="7"/>
      <c r="J4" s="7"/>
      <c r="K4" s="7"/>
      <c r="L4" s="19" t="str">
        <f t="shared" si="0"/>
        <v>Kiran-patel</v>
      </c>
    </row>
    <row r="5" spans="1:12" x14ac:dyDescent="0.3">
      <c r="A5" s="1">
        <v>104</v>
      </c>
      <c r="B5" s="1" t="s">
        <v>38</v>
      </c>
      <c r="C5" s="1" t="s">
        <v>51</v>
      </c>
      <c r="D5" s="1" t="s">
        <v>33</v>
      </c>
      <c r="E5" s="1">
        <v>88</v>
      </c>
      <c r="F5" s="1" t="s">
        <v>34</v>
      </c>
      <c r="G5" s="7"/>
      <c r="H5" s="21" t="str">
        <f>IF(E5&gt;=50,"Pass","Fail")</f>
        <v>Pass</v>
      </c>
      <c r="I5" s="7"/>
      <c r="J5" s="7"/>
      <c r="K5" s="7"/>
      <c r="L5" s="19" t="str">
        <f t="shared" si="0"/>
        <v>Sneha-sowmi</v>
      </c>
    </row>
    <row r="6" spans="1:12" x14ac:dyDescent="0.3">
      <c r="A6" s="1">
        <v>105</v>
      </c>
      <c r="B6" s="1" t="s">
        <v>39</v>
      </c>
      <c r="C6" s="1" t="s">
        <v>52</v>
      </c>
      <c r="D6" s="1" t="s">
        <v>33</v>
      </c>
      <c r="E6" s="1">
        <v>35</v>
      </c>
      <c r="F6" s="1" t="s">
        <v>36</v>
      </c>
      <c r="G6" s="7"/>
      <c r="H6" s="21" t="str">
        <f>IF(E6&gt;=50,"Pass","Fail")</f>
        <v>Fail</v>
      </c>
      <c r="I6" s="7"/>
      <c r="J6" s="7"/>
      <c r="K6" s="7"/>
      <c r="L6" s="19" t="str">
        <f t="shared" si="0"/>
        <v>Arjun-rao</v>
      </c>
    </row>
    <row r="7" spans="1:12" x14ac:dyDescent="0.3">
      <c r="A7" s="1">
        <v>106</v>
      </c>
      <c r="B7" s="1" t="s">
        <v>40</v>
      </c>
      <c r="C7" s="1" t="s">
        <v>53</v>
      </c>
      <c r="D7" s="1" t="s">
        <v>33</v>
      </c>
      <c r="E7" s="1">
        <v>54</v>
      </c>
      <c r="F7" s="1" t="s">
        <v>34</v>
      </c>
      <c r="G7" s="7"/>
      <c r="H7" s="21" t="str">
        <f>IF(E7&gt;=50,"Pass","Fail")</f>
        <v>Pass</v>
      </c>
      <c r="I7" s="7"/>
      <c r="J7" s="7"/>
      <c r="K7" s="7"/>
      <c r="L7" s="19" t="str">
        <f t="shared" si="0"/>
        <v>Pooja-hegde</v>
      </c>
    </row>
    <row r="8" spans="1:12" x14ac:dyDescent="0.3">
      <c r="A8" s="1">
        <v>107</v>
      </c>
      <c r="B8" s="1" t="s">
        <v>41</v>
      </c>
      <c r="C8" s="1" t="s">
        <v>54</v>
      </c>
      <c r="D8" s="1" t="s">
        <v>33</v>
      </c>
      <c r="E8" s="1">
        <v>91</v>
      </c>
      <c r="F8" s="1" t="s">
        <v>34</v>
      </c>
      <c r="G8" s="7"/>
      <c r="H8" s="21" t="str">
        <f>IF(E8&gt;=50,"Pass","Fail")</f>
        <v>Pass</v>
      </c>
      <c r="I8" s="7"/>
      <c r="J8" s="7"/>
      <c r="K8" s="7"/>
      <c r="L8" s="19" t="str">
        <f t="shared" si="0"/>
        <v>Ramesh-babu</v>
      </c>
    </row>
    <row r="9" spans="1:12" x14ac:dyDescent="0.3">
      <c r="A9" s="1">
        <v>108</v>
      </c>
      <c r="B9" s="1" t="s">
        <v>42</v>
      </c>
      <c r="C9" s="1" t="s">
        <v>55</v>
      </c>
      <c r="D9" s="1" t="s">
        <v>33</v>
      </c>
      <c r="E9" s="1">
        <v>40</v>
      </c>
      <c r="F9" s="1" t="s">
        <v>36</v>
      </c>
      <c r="G9" s="7"/>
      <c r="H9" s="21" t="str">
        <f>IF(E9&gt;=50,"Pass","Fail")</f>
        <v>Fail</v>
      </c>
      <c r="I9" s="7"/>
      <c r="J9" s="7"/>
      <c r="K9" s="7"/>
      <c r="L9" s="19" t="str">
        <f t="shared" si="0"/>
        <v>Divya-sharma</v>
      </c>
    </row>
    <row r="10" spans="1:12" x14ac:dyDescent="0.3">
      <c r="A10" s="7"/>
      <c r="B10" s="7"/>
      <c r="C10" s="7"/>
      <c r="D10" s="7"/>
      <c r="E10" s="7"/>
      <c r="F10" s="7"/>
      <c r="G10" s="7"/>
      <c r="H10" s="7"/>
      <c r="I10" s="7"/>
      <c r="J10" s="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CONDITIONAL FORMATING</vt:lpstr>
      <vt:lpstr>Functions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Naseema S</dc:creator>
  <cp:lastModifiedBy>Naseema S</cp:lastModifiedBy>
  <dcterms:created xsi:type="dcterms:W3CDTF">2026-01-26T11:16:56Z</dcterms:created>
  <dcterms:modified xsi:type="dcterms:W3CDTF">2026-02-03T17:29:20Z</dcterms:modified>
</cp:coreProperties>
</file>